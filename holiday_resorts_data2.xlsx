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20001_{155EBFA3-6CE9-49A1-A337-6F8C1FC2C3B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Raw Data" sheetId="1" r:id="rId1"/>
    <sheet name="Summary Dashboard" sheetId="3" r:id="rId2"/>
  </sheets>
  <calcPr calcId="181029"/>
  <fileRecoveryPr repairLoad="1"/>
</workbook>
</file>

<file path=xl/calcChain.xml><?xml version="1.0" encoding="utf-8"?>
<calcChain xmlns="http://schemas.openxmlformats.org/spreadsheetml/2006/main">
  <c r="B40" i="1" l="1"/>
  <c r="E35" i="1"/>
  <c r="H35" i="1" s="1"/>
  <c r="I35" i="1" s="1"/>
  <c r="E34" i="1"/>
  <c r="H34" i="1" s="1"/>
  <c r="I34" i="1" s="1"/>
  <c r="E33" i="1"/>
  <c r="H33" i="1" s="1"/>
  <c r="I33" i="1" s="1"/>
  <c r="E32" i="1"/>
  <c r="H32" i="1" s="1"/>
  <c r="I32" i="1" s="1"/>
  <c r="E31" i="1"/>
  <c r="H31" i="1" s="1"/>
  <c r="I31" i="1" s="1"/>
  <c r="E30" i="1"/>
  <c r="H30" i="1" s="1"/>
  <c r="I30" i="1" s="1"/>
  <c r="E29" i="1"/>
  <c r="H29" i="1" s="1"/>
  <c r="I29" i="1" s="1"/>
  <c r="E28" i="1"/>
  <c r="H28" i="1" s="1"/>
  <c r="I28" i="1" s="1"/>
  <c r="E27" i="1"/>
  <c r="H27" i="1" s="1"/>
  <c r="I27" i="1" s="1"/>
  <c r="E26" i="1"/>
  <c r="H26" i="1" s="1"/>
  <c r="E20" i="1"/>
  <c r="E19" i="1"/>
  <c r="E18" i="1"/>
  <c r="E17" i="1"/>
  <c r="B7" i="3"/>
  <c r="B6" i="3"/>
  <c r="B5" i="3"/>
  <c r="B4" i="3"/>
  <c r="E21" i="1" l="1"/>
  <c r="B39" i="1"/>
  <c r="B38" i="1"/>
  <c r="I26" i="1"/>
  <c r="B41" i="1" s="1"/>
  <c r="B8" i="3"/>
</calcChain>
</file>

<file path=xl/sharedStrings.xml><?xml version="1.0" encoding="utf-8"?>
<sst xmlns="http://schemas.openxmlformats.org/spreadsheetml/2006/main" count="150" uniqueCount="106">
  <si>
    <t>Holiday Resorts - Raw Data</t>
  </si>
  <si>
    <t>Resort Name</t>
  </si>
  <si>
    <t>City/Area</t>
  </si>
  <si>
    <t>Region (Header)</t>
  </si>
  <si>
    <t>Starting Price (PKR)</t>
  </si>
  <si>
    <t>Price Note</t>
  </si>
  <si>
    <t>Check-in</t>
  </si>
  <si>
    <t>Check-out</t>
  </si>
  <si>
    <t>Airport Distance (km)</t>
  </si>
  <si>
    <t>Airport Distance (time)</t>
  </si>
  <si>
    <t>Amenities Count</t>
  </si>
  <si>
    <t>Short Description</t>
  </si>
  <si>
    <t>Details Page</t>
  </si>
  <si>
    <t>Shangrila Resort</t>
  </si>
  <si>
    <t>Skardu</t>
  </si>
  <si>
    <t>Skardu, Gilgit-Baltistan</t>
  </si>
  <si>
    <t>Per night (including breakfast)</t>
  </si>
  <si>
    <t>2:00 PM</t>
  </si>
  <si>
    <t>12:00 PM</t>
  </si>
  <si>
    <t>30 minutes drive</t>
  </si>
  <si>
    <t>Free Wi-Fi, Restaurant &amp; Café, Lake View Rooms, Room Service, Boating Facility, Outdoor Seating, Parking Available, 24/7 Security, Air Conditioning, LED TV, Beautiful Gardens, Tour Arrangement</t>
  </si>
  <si>
    <t>Beautiful lakeside resort surrounded by mountains.</t>
  </si>
  <si>
    <t>shangrila-info.html</t>
  </si>
  <si>
    <t>Pearl Continental Bhurban</t>
  </si>
  <si>
    <t>Murree</t>
  </si>
  <si>
    <t>Murree, Punjab</t>
  </si>
  <si>
    <t>Per night (breakfast &amp; dinner included)</t>
  </si>
  <si>
    <t>3:00 PM</t>
  </si>
  <si>
    <t>2 hours drive</t>
  </si>
  <si>
    <t>High-Speed Wi-Fi, Multiple Restaurants, Luxury Spa &amp; Wellness, Indoor Swimming Pool, Fitness Center, Kids Play Area, Mountain View Rooms, 24/7 Room Service, Conference Halls, Valet Parking, Concierge Service, Laundry Service</t>
  </si>
  <si>
    <t>Luxury hill resort with spa and views.</t>
  </si>
  <si>
    <t>pearl-continental-info.html</t>
  </si>
  <si>
    <t>Serena Shigar Fort</t>
  </si>
  <si>
    <t>Shigar Valley</t>
  </si>
  <si>
    <t>Shigar Valley, Gilgit-Baltistan</t>
  </si>
  <si>
    <t>Per night (full board included)</t>
  </si>
  <si>
    <t>45 minutes drive</t>
  </si>
  <si>
    <t>Free Wi-Fi, Organic Restaurant, Heritage Gardens, Traditional Balti Cuisine, Mountain Expeditions, Cultural Programs, Library, Room Service, Heating System, Parking Available, Tour Arrangements, Airport Transfers</t>
  </si>
  <si>
    <t>Historic fort with modern comfort.</t>
  </si>
  <si>
    <t>serena-shigar-info.html</t>
  </si>
  <si>
    <t>Monal Resort</t>
  </si>
  <si>
    <t>Islamabad</t>
  </si>
  <si>
    <t>Margalla Hills, Islamabad</t>
  </si>
  <si>
    <t>Per night (breakfast included)</t>
  </si>
  <si>
    <t>11:00 AM</t>
  </si>
  <si>
    <t>1 hour drive</t>
  </si>
  <si>
    <t>Free Wi-Fi, Signature Restaurant, Panoramic City Views, Outdoor Terrace, Nature Trails, BBQ Facilities, Room Service, Air Conditioning, LED TV &amp; Cable, Parking Available, Event Spaces, Photography Spots</t>
  </si>
  <si>
    <t>Stunning hilltop retreat with panoramic city views and traditional architecture.</t>
  </si>
  <si>
    <t>monal-info.html</t>
  </si>
  <si>
    <t>Lakeside Resort Khanpur</t>
  </si>
  <si>
    <t>Khanpur Dam</t>
  </si>
  <si>
    <t>Khanpur Dam, Khyber Pakhtunkhwa</t>
  </si>
  <si>
    <t>1:00 PM</t>
  </si>
  <si>
    <t>1.5 hours drive</t>
  </si>
  <si>
    <t>Free Wi-Fi, Lakeside Restaurant, Water Sports Activities, Boating &amp; Jet Skiing, Swimming Area, BBQ Facilities, Private Beach Access, Fishing Equipment, Outdoor Seating, Parking Available, Children's Play Area, 24/7 Security</t>
  </si>
  <si>
    <t>Peaceful waterfront escape with modern lakeside cottages and water sports.</t>
  </si>
  <si>
    <t>khanpur-info.html</t>
  </si>
  <si>
    <t>Nathia Gali Forest Resort</t>
  </si>
  <si>
    <t>Nathia Gali</t>
  </si>
  <si>
    <t>Nathia Gali, Khyber Pakhtunkhwa</t>
  </si>
  <si>
    <t>2.5 hours drive</t>
  </si>
  <si>
    <t>Wi-Fi in Common Areas, Restaurant &amp; Café, Nature Hiking Trails, Birdwatching Tours, Bonfire Area, Outdoor Seating, Heaters in Rooms, Room Service, Guided Forest Walks, Parking Available, Reading Lounge, Organic Garden</t>
  </si>
  <si>
    <t>Cozy wooden cottages nestled in pine forests with hiking trails.</t>
  </si>
  <si>
    <t>nathia-gali-info.html</t>
  </si>
  <si>
    <t>Booking Cost Calculator (Demonstrates Formulas)</t>
  </si>
  <si>
    <t>Inputs</t>
  </si>
  <si>
    <t>Outputs</t>
  </si>
  <si>
    <t>Resort</t>
  </si>
  <si>
    <t>Nights</t>
  </si>
  <si>
    <t>Check-in Date</t>
  </si>
  <si>
    <t>Base Price (PKR)</t>
  </si>
  <si>
    <t>Check-out Date</t>
  </si>
  <si>
    <t>Guest Multiplier</t>
  </si>
  <si>
    <t>Guests</t>
  </si>
  <si>
    <t>Season Multiplier</t>
  </si>
  <si>
    <t>Season</t>
  </si>
  <si>
    <t>Off-Peak</t>
  </si>
  <si>
    <t>Total Booking Cost (PKR)</t>
  </si>
  <si>
    <t>Booking Log (Mock Data)</t>
  </si>
  <si>
    <t>Booking ID</t>
  </si>
  <si>
    <t>Total Cost (PKR)</t>
  </si>
  <si>
    <t>Is High Value?</t>
  </si>
  <si>
    <t>BKG-001</t>
  </si>
  <si>
    <t>BKG-002</t>
  </si>
  <si>
    <t>BKG-003</t>
  </si>
  <si>
    <t>BKG-004</t>
  </si>
  <si>
    <t>BKG-005</t>
  </si>
  <si>
    <t>BKG-006</t>
  </si>
  <si>
    <t>BKG-007</t>
  </si>
  <si>
    <t>BKG-008</t>
  </si>
  <si>
    <t>BKG-009</t>
  </si>
  <si>
    <t>BKG-010</t>
  </si>
  <si>
    <t>Summary Metrics</t>
  </si>
  <si>
    <t>Total Revenue (All Bookings)</t>
  </si>
  <si>
    <t>Average Booking Value</t>
  </si>
  <si>
    <t>Peak Season Bookings</t>
  </si>
  <si>
    <t>High Value Bookings (&gt;= 80,000)</t>
  </si>
  <si>
    <t>Summary Dashboard</t>
  </si>
  <si>
    <t>Resort Prices</t>
  </si>
  <si>
    <t>Number of Resorts</t>
  </si>
  <si>
    <t>Average Starting Price (PKR)</t>
  </si>
  <si>
    <t>Most Expensive Starting Price (PKR)</t>
  </si>
  <si>
    <t>Least Expensive Starting Price (PKR)</t>
  </si>
  <si>
    <t>Total Mock Booking Revenue (PKR)</t>
  </si>
  <si>
    <t>Key Information</t>
  </si>
  <si>
    <t>Top Amenities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</si>
</sst>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rgb="FF1E3D59"/>
      <name val="Calibri"/>
    </font>
    <font>
      <b/>
      <sz val="11"/>
      <color rgb="FFFFFFFF"/>
      <name val="Calibri"/>
    </font>
    <font>
      <b/>
      <sz val="11"/>
      <color rgb="FF1E3D59"/>
      <name val="Calibri"/>
    </font>
    <font>
      <b/>
      <sz val="11"/>
      <name val="Calibri"/>
    </font>
    <font>
      <i/>
      <sz val="11"/>
      <color rgb="FF555555"/>
      <name val="Calibri"/>
    </font>
    <font>
      <b/>
      <sz val="11"/>
      <color rgb="FFFFFFFF"/>
      <name val="Calibri"/>
      <family val="2"/>
    </font>
    <font>
      <b/>
      <sz val="11"/>
      <color rgb="FF1E3D5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3D5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3D59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1" fillId="0" borderId="0" xfId="0" applyFont="1"/>
    <xf numFmtId="0" fontId="0" fillId="0" borderId="0" xfId="0"/>
    <xf numFmtId="0" fontId="5" fillId="0" borderId="0" xfId="0" applyFont="1"/>
    <xf numFmtId="3" fontId="0" fillId="3" borderId="1" xfId="0" applyNumberFormat="1" applyFill="1" applyBorder="1" applyAlignment="1">
      <alignment vertical="top" wrapText="1"/>
    </xf>
    <xf numFmtId="0" fontId="3" fillId="0" borderId="2" xfId="0" applyFont="1" applyBorder="1"/>
    <xf numFmtId="0" fontId="0" fillId="0" borderId="2" xfId="0" applyBorder="1"/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3" fontId="0" fillId="0" borderId="2" xfId="0" applyNumberFormat="1" applyBorder="1" applyAlignment="1">
      <alignment vertical="top" wrapText="1"/>
    </xf>
    <xf numFmtId="0" fontId="4" fillId="0" borderId="2" xfId="0" applyFont="1" applyBorder="1"/>
    <xf numFmtId="3" fontId="0" fillId="0" borderId="2" xfId="0" applyNumberFormat="1" applyBorder="1"/>
    <xf numFmtId="0" fontId="7" fillId="0" borderId="2" xfId="0" applyFont="1" applyBorder="1"/>
    <xf numFmtId="0" fontId="6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1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164" fontId="0" fillId="0" borderId="2" xfId="0" applyNumberFormat="1" applyBorder="1" applyAlignment="1">
      <alignment vertical="top" wrapText="1"/>
    </xf>
    <xf numFmtId="0" fontId="1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Starting Price by Resort (PKR)</a:t>
            </a:r>
          </a:p>
        </c:rich>
      </c:tx>
      <c:layout>
        <c:manualLayout>
          <c:xMode val="edge"/>
          <c:yMode val="edge"/>
          <c:x val="0.18467065765922855"/>
          <c:y val="2.8906947511697926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'Summary Dashboard'!$E$4</c:f>
              <c:strCache>
                <c:ptCount val="1"/>
                <c:pt idx="0">
                  <c:v>Starting Price (PKR)</c:v>
                </c:pt>
              </c:strCache>
            </c:strRef>
          </c:tx>
          <c:spPr>
            <a:ln/>
          </c:spPr>
          <c:invertIfNegative val="1"/>
          <c:cat>
            <c:strRef>
              <c:f>'Summary Dashboard'!$D$5:$D$10</c:f>
              <c:strCache>
                <c:ptCount val="6"/>
                <c:pt idx="0">
                  <c:v>Shangrila Resort</c:v>
                </c:pt>
                <c:pt idx="1">
                  <c:v>Pearl Continental Bhurban</c:v>
                </c:pt>
                <c:pt idx="2">
                  <c:v>Serena Shigar Fort</c:v>
                </c:pt>
                <c:pt idx="3">
                  <c:v>Monal Resort</c:v>
                </c:pt>
                <c:pt idx="4">
                  <c:v>Lakeside Resort Khanpur</c:v>
                </c:pt>
                <c:pt idx="5">
                  <c:v>Nathia Gali Forest Resort</c:v>
                </c:pt>
              </c:strCache>
            </c:strRef>
          </c:cat>
          <c:val>
            <c:numRef>
              <c:f>'Summary Dashboard'!$E$5:$E$10</c:f>
              <c:numCache>
                <c:formatCode>#,##0</c:formatCode>
                <c:ptCount val="6"/>
                <c:pt idx="0">
                  <c:v>30000</c:v>
                </c:pt>
                <c:pt idx="1">
                  <c:v>35000</c:v>
                </c:pt>
                <c:pt idx="2">
                  <c:v>40000</c:v>
                </c:pt>
                <c:pt idx="3">
                  <c:v>25000</c:v>
                </c:pt>
                <c:pt idx="4">
                  <c:v>20000</c:v>
                </c:pt>
                <c:pt idx="5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3-4344-B9C6-A80BC26E3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2111432280013477"/>
          <c:y val="0.13385221095821712"/>
          <c:w val="0.25434580385073124"/>
          <c:h val="0.31934497474521567"/>
        </c:manualLayout>
      </c:layout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11</xdr:row>
      <xdr:rowOff>47624</xdr:rowOff>
    </xdr:from>
    <xdr:to>
      <xdr:col>3</xdr:col>
      <xdr:colOff>1609725</xdr:colOff>
      <xdr:row>33</xdr:row>
      <xdr:rowOff>171450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ortsTable" displayName="ResortsTable" ref="A3:M9">
  <autoFilter ref="A3:M9" xr:uid="{00000000-000C-0000-FFFF-FFFF00000000}"/>
  <tableColumns count="13">
    <tableColumn id="1" xr3:uid="{00000000-0010-0000-0000-000001000000}" name="Resort Name"/>
    <tableColumn id="2" xr3:uid="{00000000-0010-0000-0000-000002000000}" name="City/Area"/>
    <tableColumn id="3" xr3:uid="{00000000-0010-0000-0000-000003000000}" name="Region (Header)"/>
    <tableColumn id="4" xr3:uid="{00000000-0010-0000-0000-000004000000}" name="Starting Price (PKR)"/>
    <tableColumn id="5" xr3:uid="{00000000-0010-0000-0000-000005000000}" name="Price Note"/>
    <tableColumn id="6" xr3:uid="{00000000-0010-0000-0000-000006000000}" name="Check-in"/>
    <tableColumn id="7" xr3:uid="{00000000-0010-0000-0000-000007000000}" name="Check-out"/>
    <tableColumn id="8" xr3:uid="{00000000-0010-0000-0000-000008000000}" name="Airport Distance (km)"/>
    <tableColumn id="9" xr3:uid="{00000000-0010-0000-0000-000009000000}" name="Airport Distance (time)"/>
    <tableColumn id="10" xr3:uid="{00000000-0010-0000-0000-00000A000000}" name="Amenities Count"/>
    <tableColumn id="11" xr3:uid="{00000000-0010-0000-0000-00000B000000}" name="Top Amenities"/>
    <tableColumn id="12" xr3:uid="{00000000-0010-0000-0000-00000C000000}" name="Short Description"/>
    <tableColumn id="13" xr3:uid="{00000000-0010-0000-0000-00000D000000}" name="Details P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topLeftCell="A4" zoomScale="83" zoomScaleNormal="83" workbookViewId="0">
      <selection activeCell="A14" sqref="A14:F14"/>
    </sheetView>
  </sheetViews>
  <sheetFormatPr defaultRowHeight="15" x14ac:dyDescent="0.25"/>
  <cols>
    <col min="1" max="1" width="38.5703125" customWidth="1"/>
    <col min="2" max="2" width="19.28515625" customWidth="1"/>
    <col min="3" max="3" width="26" customWidth="1"/>
    <col min="4" max="4" width="23.85546875" customWidth="1"/>
    <col min="5" max="5" width="26" customWidth="1"/>
    <col min="6" max="7" width="12" customWidth="1"/>
    <col min="8" max="8" width="27.28515625" customWidth="1"/>
    <col min="9" max="9" width="22" customWidth="1"/>
    <col min="10" max="10" width="16" customWidth="1"/>
    <col min="11" max="11" width="45" customWidth="1"/>
    <col min="12" max="12" width="35" customWidth="1"/>
    <col min="13" max="13" width="20" customWidth="1"/>
  </cols>
  <sheetData>
    <row r="1" spans="1:13" ht="24" customHeight="1" x14ac:dyDescent="0.3">
      <c r="A1" s="3" t="s">
        <v>0</v>
      </c>
      <c r="B1" s="4"/>
      <c r="C1" s="4"/>
      <c r="D1" s="4"/>
      <c r="E1" s="4"/>
      <c r="F1" s="4"/>
      <c r="G1" s="4"/>
      <c r="H1" s="4"/>
    </row>
    <row r="3" spans="1:13" x14ac:dyDescent="0.2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5" t="s">
        <v>8</v>
      </c>
      <c r="I3" s="15" t="s">
        <v>9</v>
      </c>
      <c r="J3" s="15" t="s">
        <v>10</v>
      </c>
      <c r="K3" s="15" t="s">
        <v>105</v>
      </c>
      <c r="L3" s="15" t="s">
        <v>11</v>
      </c>
      <c r="M3" s="15" t="s">
        <v>12</v>
      </c>
    </row>
    <row r="4" spans="1:13" ht="75" x14ac:dyDescent="0.25">
      <c r="A4" s="1" t="s">
        <v>13</v>
      </c>
      <c r="B4" s="1" t="s">
        <v>14</v>
      </c>
      <c r="C4" s="1" t="s">
        <v>15</v>
      </c>
      <c r="D4" s="2">
        <v>30000</v>
      </c>
      <c r="E4" s="1" t="s">
        <v>16</v>
      </c>
      <c r="F4" s="1" t="s">
        <v>17</v>
      </c>
      <c r="G4" s="1" t="s">
        <v>18</v>
      </c>
      <c r="H4" s="1">
        <v>20</v>
      </c>
      <c r="I4" s="1" t="s">
        <v>19</v>
      </c>
      <c r="J4" s="1">
        <v>12</v>
      </c>
      <c r="K4" s="1" t="s">
        <v>20</v>
      </c>
      <c r="L4" s="1" t="s">
        <v>21</v>
      </c>
      <c r="M4" s="1" t="s">
        <v>22</v>
      </c>
    </row>
    <row r="5" spans="1:13" ht="75" x14ac:dyDescent="0.25">
      <c r="A5" s="1" t="s">
        <v>23</v>
      </c>
      <c r="B5" s="1" t="s">
        <v>24</v>
      </c>
      <c r="C5" s="1" t="s">
        <v>25</v>
      </c>
      <c r="D5" s="6">
        <v>35000</v>
      </c>
      <c r="E5" s="1" t="s">
        <v>26</v>
      </c>
      <c r="F5" s="1" t="s">
        <v>27</v>
      </c>
      <c r="G5" s="1" t="s">
        <v>18</v>
      </c>
      <c r="H5" s="1">
        <v>75</v>
      </c>
      <c r="I5" s="1" t="s">
        <v>28</v>
      </c>
      <c r="J5" s="1">
        <v>12</v>
      </c>
      <c r="K5" s="1" t="s">
        <v>29</v>
      </c>
      <c r="L5" s="1" t="s">
        <v>30</v>
      </c>
      <c r="M5" s="1" t="s">
        <v>31</v>
      </c>
    </row>
    <row r="6" spans="1:13" ht="75" x14ac:dyDescent="0.25">
      <c r="A6" s="1" t="s">
        <v>32</v>
      </c>
      <c r="B6" s="1" t="s">
        <v>33</v>
      </c>
      <c r="C6" s="1" t="s">
        <v>34</v>
      </c>
      <c r="D6" s="2">
        <v>40000</v>
      </c>
      <c r="E6" s="1" t="s">
        <v>35</v>
      </c>
      <c r="F6" s="1" t="s">
        <v>17</v>
      </c>
      <c r="G6" s="1" t="s">
        <v>18</v>
      </c>
      <c r="H6" s="1">
        <v>35</v>
      </c>
      <c r="I6" s="1" t="s">
        <v>36</v>
      </c>
      <c r="J6" s="1">
        <v>12</v>
      </c>
      <c r="K6" s="1" t="s">
        <v>37</v>
      </c>
      <c r="L6" s="1" t="s">
        <v>38</v>
      </c>
      <c r="M6" s="1" t="s">
        <v>39</v>
      </c>
    </row>
    <row r="7" spans="1:13" ht="75" x14ac:dyDescent="0.25">
      <c r="A7" s="1" t="s">
        <v>40</v>
      </c>
      <c r="B7" s="1" t="s">
        <v>41</v>
      </c>
      <c r="C7" s="1" t="s">
        <v>42</v>
      </c>
      <c r="D7" s="2">
        <v>25000</v>
      </c>
      <c r="E7" s="1" t="s">
        <v>43</v>
      </c>
      <c r="F7" s="1" t="s">
        <v>17</v>
      </c>
      <c r="G7" s="1" t="s">
        <v>44</v>
      </c>
      <c r="H7" s="1">
        <v>40</v>
      </c>
      <c r="I7" s="1" t="s">
        <v>45</v>
      </c>
      <c r="J7" s="1">
        <v>12</v>
      </c>
      <c r="K7" s="1" t="s">
        <v>46</v>
      </c>
      <c r="L7" s="1" t="s">
        <v>47</v>
      </c>
      <c r="M7" s="1" t="s">
        <v>48</v>
      </c>
    </row>
    <row r="8" spans="1:13" ht="75" x14ac:dyDescent="0.25">
      <c r="A8" s="1" t="s">
        <v>49</v>
      </c>
      <c r="B8" s="1" t="s">
        <v>50</v>
      </c>
      <c r="C8" s="1" t="s">
        <v>51</v>
      </c>
      <c r="D8" s="2">
        <v>20000</v>
      </c>
      <c r="E8" s="1" t="s">
        <v>43</v>
      </c>
      <c r="F8" s="1" t="s">
        <v>52</v>
      </c>
      <c r="G8" s="1" t="s">
        <v>44</v>
      </c>
      <c r="H8" s="1">
        <v>60</v>
      </c>
      <c r="I8" s="1" t="s">
        <v>53</v>
      </c>
      <c r="J8" s="1">
        <v>12</v>
      </c>
      <c r="K8" s="1" t="s">
        <v>54</v>
      </c>
      <c r="L8" s="1" t="s">
        <v>55</v>
      </c>
      <c r="M8" s="1" t="s">
        <v>56</v>
      </c>
    </row>
    <row r="9" spans="1:13" ht="75" x14ac:dyDescent="0.25">
      <c r="A9" s="1" t="s">
        <v>57</v>
      </c>
      <c r="B9" s="1" t="s">
        <v>58</v>
      </c>
      <c r="C9" s="1" t="s">
        <v>59</v>
      </c>
      <c r="D9" s="2">
        <v>18000</v>
      </c>
      <c r="E9" s="1" t="s">
        <v>43</v>
      </c>
      <c r="F9" s="1" t="s">
        <v>17</v>
      </c>
      <c r="G9" s="1" t="s">
        <v>44</v>
      </c>
      <c r="H9" s="1">
        <v>85</v>
      </c>
      <c r="I9" s="1" t="s">
        <v>60</v>
      </c>
      <c r="J9" s="1">
        <v>12</v>
      </c>
      <c r="K9" s="1" t="s">
        <v>61</v>
      </c>
      <c r="L9" s="1" t="s">
        <v>62</v>
      </c>
      <c r="M9" s="1" t="s">
        <v>63</v>
      </c>
    </row>
    <row r="14" spans="1:13" ht="18.75" x14ac:dyDescent="0.3">
      <c r="A14" s="21" t="s">
        <v>64</v>
      </c>
      <c r="B14" s="22"/>
      <c r="C14" s="22"/>
      <c r="D14" s="22"/>
      <c r="E14" s="22"/>
      <c r="F14" s="22"/>
    </row>
    <row r="16" spans="1:13" x14ac:dyDescent="0.25">
      <c r="A16" s="7" t="s">
        <v>65</v>
      </c>
      <c r="B16" s="8"/>
      <c r="C16" s="8"/>
      <c r="D16" s="7" t="s">
        <v>66</v>
      </c>
      <c r="E16" s="8"/>
    </row>
    <row r="17" spans="1:9" x14ac:dyDescent="0.25">
      <c r="A17" s="16" t="s">
        <v>67</v>
      </c>
      <c r="B17" s="8" t="s">
        <v>13</v>
      </c>
      <c r="C17" s="8"/>
      <c r="D17" s="12" t="s">
        <v>68</v>
      </c>
      <c r="E17" s="17">
        <f>MAX(0,B19-B18)</f>
        <v>3</v>
      </c>
    </row>
    <row r="18" spans="1:9" x14ac:dyDescent="0.25">
      <c r="A18" s="16" t="s">
        <v>69</v>
      </c>
      <c r="B18" s="18">
        <v>46054</v>
      </c>
      <c r="C18" s="8"/>
      <c r="D18" s="12" t="s">
        <v>70</v>
      </c>
      <c r="E18" s="13">
        <f>VLOOKUP(B17,'Raw Data'!$A$4:$D$9,4,FALSE)</f>
        <v>30000</v>
      </c>
    </row>
    <row r="19" spans="1:9" x14ac:dyDescent="0.25">
      <c r="A19" s="16" t="s">
        <v>71</v>
      </c>
      <c r="B19" s="18">
        <v>46057</v>
      </c>
      <c r="C19" s="8"/>
      <c r="D19" s="12" t="s">
        <v>72</v>
      </c>
      <c r="E19" s="19">
        <f>IF(B20&gt;2,1.2,1)</f>
        <v>1</v>
      </c>
    </row>
    <row r="20" spans="1:9" x14ac:dyDescent="0.25">
      <c r="A20" s="16" t="s">
        <v>73</v>
      </c>
      <c r="B20" s="8">
        <v>2</v>
      </c>
      <c r="C20" s="8"/>
      <c r="D20" s="12" t="s">
        <v>74</v>
      </c>
      <c r="E20" s="19">
        <f>IF(B21="Peak",1.3,1)</f>
        <v>1</v>
      </c>
    </row>
    <row r="21" spans="1:9" x14ac:dyDescent="0.25">
      <c r="A21" s="16" t="s">
        <v>75</v>
      </c>
      <c r="B21" s="8" t="s">
        <v>76</v>
      </c>
      <c r="C21" s="8"/>
      <c r="D21" s="12" t="s">
        <v>77</v>
      </c>
      <c r="E21" s="13">
        <f>E17*E18*E19*E20</f>
        <v>90000</v>
      </c>
    </row>
    <row r="24" spans="1:9" x14ac:dyDescent="0.25">
      <c r="A24" s="7" t="s">
        <v>78</v>
      </c>
      <c r="B24" s="8"/>
      <c r="C24" s="8"/>
      <c r="D24" s="8"/>
      <c r="E24" s="8"/>
      <c r="F24" s="8"/>
      <c r="G24" s="8"/>
      <c r="H24" s="8"/>
      <c r="I24" s="8"/>
    </row>
    <row r="25" spans="1:9" x14ac:dyDescent="0.25">
      <c r="A25" s="9" t="s">
        <v>79</v>
      </c>
      <c r="B25" s="9" t="s">
        <v>67</v>
      </c>
      <c r="C25" s="9" t="s">
        <v>6</v>
      </c>
      <c r="D25" s="9" t="s">
        <v>7</v>
      </c>
      <c r="E25" s="9" t="s">
        <v>68</v>
      </c>
      <c r="F25" s="9" t="s">
        <v>73</v>
      </c>
      <c r="G25" s="9" t="s">
        <v>75</v>
      </c>
      <c r="H25" s="9" t="s">
        <v>80</v>
      </c>
      <c r="I25" s="9" t="s">
        <v>81</v>
      </c>
    </row>
    <row r="26" spans="1:9" x14ac:dyDescent="0.25">
      <c r="A26" s="10" t="s">
        <v>82</v>
      </c>
      <c r="B26" s="10" t="s">
        <v>13</v>
      </c>
      <c r="C26" s="20">
        <v>46082</v>
      </c>
      <c r="D26" s="20">
        <v>46084</v>
      </c>
      <c r="E26" s="10">
        <f t="shared" ref="E26:E35" si="0">MAX(0,D26-C26)</f>
        <v>2</v>
      </c>
      <c r="F26" s="10">
        <v>2</v>
      </c>
      <c r="G26" s="10" t="s">
        <v>76</v>
      </c>
      <c r="H26" s="11">
        <f>E26*VLOOKUP(B26,'Raw Data'!$A$4:$D$9,4,FALSE)*IF(F26&gt;2,1.2,1)*IF(G26="Peak",1.3,1)</f>
        <v>60000</v>
      </c>
      <c r="I26" s="10" t="str">
        <f t="shared" ref="I26:I35" si="1">IF(H26&gt;=80000,"Yes","No")</f>
        <v>No</v>
      </c>
    </row>
    <row r="27" spans="1:9" ht="45" x14ac:dyDescent="0.25">
      <c r="A27" s="10" t="s">
        <v>83</v>
      </c>
      <c r="B27" s="10" t="s">
        <v>23</v>
      </c>
      <c r="C27" s="20">
        <v>46082</v>
      </c>
      <c r="D27" s="20">
        <v>46084</v>
      </c>
      <c r="E27" s="10">
        <f t="shared" si="0"/>
        <v>2</v>
      </c>
      <c r="F27" s="10">
        <v>2</v>
      </c>
      <c r="G27" s="10" t="s">
        <v>76</v>
      </c>
      <c r="H27" s="11">
        <f>E27*VLOOKUP(B27,'Raw Data'!$A$4:$D$9,4,FALSE)*IF(F27&gt;2,1.2,1)*IF(G27="Peak",1.3,1)</f>
        <v>70000</v>
      </c>
      <c r="I27" s="10" t="str">
        <f t="shared" si="1"/>
        <v>No</v>
      </c>
    </row>
    <row r="28" spans="1:9" ht="30" x14ac:dyDescent="0.25">
      <c r="A28" s="10" t="s">
        <v>84</v>
      </c>
      <c r="B28" s="10" t="s">
        <v>32</v>
      </c>
      <c r="C28" s="20">
        <v>46082</v>
      </c>
      <c r="D28" s="20">
        <v>46084</v>
      </c>
      <c r="E28" s="10">
        <f t="shared" si="0"/>
        <v>2</v>
      </c>
      <c r="F28" s="10">
        <v>2</v>
      </c>
      <c r="G28" s="10" t="s">
        <v>76</v>
      </c>
      <c r="H28" s="11">
        <f>E28*VLOOKUP(B28,'Raw Data'!$A$4:$D$9,4,FALSE)*IF(F28&gt;2,1.2,1)*IF(G28="Peak",1.3,1)</f>
        <v>80000</v>
      </c>
      <c r="I28" s="10" t="str">
        <f t="shared" si="1"/>
        <v>Yes</v>
      </c>
    </row>
    <row r="29" spans="1:9" x14ac:dyDescent="0.25">
      <c r="A29" s="10" t="s">
        <v>85</v>
      </c>
      <c r="B29" s="10" t="s">
        <v>40</v>
      </c>
      <c r="C29" s="20">
        <v>46082</v>
      </c>
      <c r="D29" s="20">
        <v>46084</v>
      </c>
      <c r="E29" s="10">
        <f t="shared" si="0"/>
        <v>2</v>
      </c>
      <c r="F29" s="10">
        <v>2</v>
      </c>
      <c r="G29" s="10" t="s">
        <v>76</v>
      </c>
      <c r="H29" s="11">
        <f>E29*VLOOKUP(B29,'Raw Data'!$A$4:$D$9,4,FALSE)*IF(F29&gt;2,1.2,1)*IF(G29="Peak",1.3,1)</f>
        <v>50000</v>
      </c>
      <c r="I29" s="10" t="str">
        <f t="shared" si="1"/>
        <v>No</v>
      </c>
    </row>
    <row r="30" spans="1:9" ht="30" x14ac:dyDescent="0.25">
      <c r="A30" s="10" t="s">
        <v>86</v>
      </c>
      <c r="B30" s="10" t="s">
        <v>49</v>
      </c>
      <c r="C30" s="20">
        <v>46082</v>
      </c>
      <c r="D30" s="20">
        <v>46084</v>
      </c>
      <c r="E30" s="10">
        <f t="shared" si="0"/>
        <v>2</v>
      </c>
      <c r="F30" s="10">
        <v>2</v>
      </c>
      <c r="G30" s="10" t="s">
        <v>76</v>
      </c>
      <c r="H30" s="11">
        <f>E30*VLOOKUP(B30,'Raw Data'!$A$4:$D$9,4,FALSE)*IF(F30&gt;2,1.2,1)*IF(G30="Peak",1.3,1)</f>
        <v>40000</v>
      </c>
      <c r="I30" s="10" t="str">
        <f t="shared" si="1"/>
        <v>No</v>
      </c>
    </row>
    <row r="31" spans="1:9" ht="30" x14ac:dyDescent="0.25">
      <c r="A31" s="10" t="s">
        <v>87</v>
      </c>
      <c r="B31" s="10" t="s">
        <v>57</v>
      </c>
      <c r="C31" s="20">
        <v>46082</v>
      </c>
      <c r="D31" s="20">
        <v>46084</v>
      </c>
      <c r="E31" s="10">
        <f t="shared" si="0"/>
        <v>2</v>
      </c>
      <c r="F31" s="10">
        <v>2</v>
      </c>
      <c r="G31" s="10" t="s">
        <v>76</v>
      </c>
      <c r="H31" s="11">
        <f>E31*VLOOKUP(B31,'Raw Data'!$A$4:$D$9,4,FALSE)*IF(F31&gt;2,1.2,1)*IF(G31="Peak",1.3,1)</f>
        <v>36000</v>
      </c>
      <c r="I31" s="10" t="str">
        <f t="shared" si="1"/>
        <v>No</v>
      </c>
    </row>
    <row r="32" spans="1:9" x14ac:dyDescent="0.25">
      <c r="A32" s="10" t="s">
        <v>88</v>
      </c>
      <c r="B32" s="10" t="s">
        <v>13</v>
      </c>
      <c r="C32" s="20">
        <v>46082</v>
      </c>
      <c r="D32" s="20">
        <v>46084</v>
      </c>
      <c r="E32" s="10">
        <f t="shared" si="0"/>
        <v>2</v>
      </c>
      <c r="F32" s="10">
        <v>2</v>
      </c>
      <c r="G32" s="10" t="s">
        <v>76</v>
      </c>
      <c r="H32" s="11">
        <f>E32*VLOOKUP(B32,'Raw Data'!$A$4:$D$9,4,FALSE)*IF(F32&gt;2,1.2,1)*IF(G32="Peak",1.3,1)</f>
        <v>60000</v>
      </c>
      <c r="I32" s="10" t="str">
        <f t="shared" si="1"/>
        <v>No</v>
      </c>
    </row>
    <row r="33" spans="1:9" ht="45" x14ac:dyDescent="0.25">
      <c r="A33" s="10" t="s">
        <v>89</v>
      </c>
      <c r="B33" s="10" t="s">
        <v>23</v>
      </c>
      <c r="C33" s="20">
        <v>46082</v>
      </c>
      <c r="D33" s="20">
        <v>46084</v>
      </c>
      <c r="E33" s="10">
        <f t="shared" si="0"/>
        <v>2</v>
      </c>
      <c r="F33" s="10">
        <v>2</v>
      </c>
      <c r="G33" s="10" t="s">
        <v>76</v>
      </c>
      <c r="H33" s="11">
        <f>E33*VLOOKUP(B33,'Raw Data'!$A$4:$D$9,4,FALSE)*IF(F33&gt;2,1.2,1)*IF(G33="Peak",1.3,1)</f>
        <v>70000</v>
      </c>
      <c r="I33" s="10" t="str">
        <f t="shared" si="1"/>
        <v>No</v>
      </c>
    </row>
    <row r="34" spans="1:9" ht="30" x14ac:dyDescent="0.25">
      <c r="A34" s="10" t="s">
        <v>90</v>
      </c>
      <c r="B34" s="10" t="s">
        <v>32</v>
      </c>
      <c r="C34" s="20">
        <v>46082</v>
      </c>
      <c r="D34" s="20">
        <v>46084</v>
      </c>
      <c r="E34" s="10">
        <f t="shared" si="0"/>
        <v>2</v>
      </c>
      <c r="F34" s="10">
        <v>2</v>
      </c>
      <c r="G34" s="10" t="s">
        <v>76</v>
      </c>
      <c r="H34" s="11">
        <f>E34*VLOOKUP(B34,'Raw Data'!$A$4:$D$9,4,FALSE)*IF(F34&gt;2,1.2,1)*IF(G34="Peak",1.3,1)</f>
        <v>80000</v>
      </c>
      <c r="I34" s="10" t="str">
        <f t="shared" si="1"/>
        <v>Yes</v>
      </c>
    </row>
    <row r="35" spans="1:9" x14ac:dyDescent="0.25">
      <c r="A35" s="10" t="s">
        <v>91</v>
      </c>
      <c r="B35" s="10" t="s">
        <v>40</v>
      </c>
      <c r="C35" s="20">
        <v>46082</v>
      </c>
      <c r="D35" s="20">
        <v>46084</v>
      </c>
      <c r="E35" s="10">
        <f t="shared" si="0"/>
        <v>2</v>
      </c>
      <c r="F35" s="10">
        <v>2</v>
      </c>
      <c r="G35" s="10" t="s">
        <v>76</v>
      </c>
      <c r="H35" s="11">
        <f>E35*VLOOKUP(B35,'Raw Data'!$A$4:$D$9,4,FALSE)*IF(F35&gt;2,1.2,1)*IF(G35="Peak",1.3,1)</f>
        <v>50000</v>
      </c>
      <c r="I35" s="10" t="str">
        <f t="shared" si="1"/>
        <v>No</v>
      </c>
    </row>
    <row r="37" spans="1:9" x14ac:dyDescent="0.25">
      <c r="A37" s="7" t="s">
        <v>92</v>
      </c>
      <c r="B37" s="8"/>
    </row>
    <row r="38" spans="1:9" x14ac:dyDescent="0.25">
      <c r="A38" s="16" t="s">
        <v>93</v>
      </c>
      <c r="B38" s="13">
        <f>SUM(H26:H35)</f>
        <v>596000</v>
      </c>
    </row>
    <row r="39" spans="1:9" x14ac:dyDescent="0.25">
      <c r="A39" s="16" t="s">
        <v>94</v>
      </c>
      <c r="B39" s="13">
        <f>AVERAGE(H26:H35)</f>
        <v>59600</v>
      </c>
    </row>
    <row r="40" spans="1:9" x14ac:dyDescent="0.25">
      <c r="A40" s="16" t="s">
        <v>95</v>
      </c>
      <c r="B40" s="13">
        <f>COUNTIF(G26:G35,"Peak")</f>
        <v>0</v>
      </c>
    </row>
    <row r="41" spans="1:9" x14ac:dyDescent="0.25">
      <c r="A41" s="16" t="s">
        <v>96</v>
      </c>
      <c r="B41" s="13">
        <f>COUNTIF(I26:I35,"Yes")</f>
        <v>2</v>
      </c>
    </row>
  </sheetData>
  <mergeCells count="2">
    <mergeCell ref="A1:H1"/>
    <mergeCell ref="A14:F1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activeCell="E21" sqref="E21"/>
    </sheetView>
  </sheetViews>
  <sheetFormatPr defaultRowHeight="15" x14ac:dyDescent="0.25"/>
  <cols>
    <col min="1" max="1" width="36" customWidth="1"/>
    <col min="2" max="2" width="22" customWidth="1"/>
    <col min="3" max="3" width="14" customWidth="1"/>
    <col min="4" max="4" width="37.42578125" customWidth="1"/>
    <col min="5" max="5" width="25.85546875" customWidth="1"/>
    <col min="6" max="8" width="14" customWidth="1"/>
  </cols>
  <sheetData>
    <row r="1" spans="1:8" ht="24" customHeight="1" x14ac:dyDescent="0.3">
      <c r="A1" s="3" t="s">
        <v>97</v>
      </c>
      <c r="B1" s="4"/>
      <c r="C1" s="4"/>
      <c r="D1" s="4"/>
      <c r="E1" s="4"/>
      <c r="F1" s="4"/>
      <c r="G1" s="4"/>
      <c r="H1" s="4"/>
    </row>
    <row r="3" spans="1:8" x14ac:dyDescent="0.25">
      <c r="A3" s="14" t="s">
        <v>104</v>
      </c>
      <c r="B3" s="8"/>
      <c r="D3" s="7" t="s">
        <v>98</v>
      </c>
      <c r="E3" s="8"/>
    </row>
    <row r="4" spans="1:8" x14ac:dyDescent="0.25">
      <c r="A4" s="12" t="s">
        <v>99</v>
      </c>
      <c r="B4" s="13">
        <f>COUNTA('Raw Data'!A4:A9)</f>
        <v>6</v>
      </c>
      <c r="D4" s="9" t="s">
        <v>67</v>
      </c>
      <c r="E4" s="9" t="s">
        <v>4</v>
      </c>
    </row>
    <row r="5" spans="1:8" x14ac:dyDescent="0.25">
      <c r="A5" s="12" t="s">
        <v>100</v>
      </c>
      <c r="B5" s="13">
        <f>AVERAGE('Raw Data'!D4:D9)</f>
        <v>28000</v>
      </c>
      <c r="D5" s="10" t="s">
        <v>13</v>
      </c>
      <c r="E5" s="11">
        <v>30000</v>
      </c>
    </row>
    <row r="6" spans="1:8" x14ac:dyDescent="0.25">
      <c r="A6" s="12" t="s">
        <v>101</v>
      </c>
      <c r="B6" s="13">
        <f>MAX('Raw Data'!D4:D9)</f>
        <v>40000</v>
      </c>
      <c r="D6" s="10" t="s">
        <v>23</v>
      </c>
      <c r="E6" s="11">
        <v>35000</v>
      </c>
    </row>
    <row r="7" spans="1:8" x14ac:dyDescent="0.25">
      <c r="A7" s="12" t="s">
        <v>102</v>
      </c>
      <c r="B7" s="13">
        <f>MIN('Raw Data'!D4:D9)</f>
        <v>18000</v>
      </c>
      <c r="D7" s="10" t="s">
        <v>32</v>
      </c>
      <c r="E7" s="11">
        <v>40000</v>
      </c>
    </row>
    <row r="8" spans="1:8" x14ac:dyDescent="0.25">
      <c r="A8" s="12" t="s">
        <v>103</v>
      </c>
      <c r="B8" s="13" t="e">
        <f>#REF!</f>
        <v>#REF!</v>
      </c>
      <c r="D8" s="10" t="s">
        <v>40</v>
      </c>
      <c r="E8" s="11">
        <v>25000</v>
      </c>
    </row>
    <row r="9" spans="1:8" x14ac:dyDescent="0.25">
      <c r="D9" s="10" t="s">
        <v>49</v>
      </c>
      <c r="E9" s="11">
        <v>20000</v>
      </c>
    </row>
    <row r="10" spans="1:8" x14ac:dyDescent="0.25">
      <c r="A10" s="5"/>
      <c r="B10" s="4"/>
      <c r="C10" s="4"/>
      <c r="D10" s="10" t="s">
        <v>57</v>
      </c>
      <c r="E10" s="11">
        <v>18000</v>
      </c>
    </row>
  </sheetData>
  <mergeCells count="2">
    <mergeCell ref="A10:C10"/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2026-01-03T16:18:19Z</dcterms:created>
  <dcterms:modified xsi:type="dcterms:W3CDTF">2026-01-03T16:38:52Z</dcterms:modified>
</cp:coreProperties>
</file>